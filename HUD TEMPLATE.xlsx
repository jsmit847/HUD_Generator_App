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woodtrust-my.sharepoint.com/personal/jonathan_smith_cvest_com/Documents/Programming Projects/"/>
    </mc:Choice>
  </mc:AlternateContent>
  <xr:revisionPtr revIDLastSave="37" documentId="13_ncr:1_{6CB38B3E-6DCE-4C31-B007-8778C5EFB85D}" xr6:coauthVersionLast="47" xr6:coauthVersionMax="47" xr10:uidLastSave="{3F94B901-2D39-4F80-BFAF-834E9D6F64C7}"/>
  <bookViews>
    <workbookView xWindow="-10360" yWindow="10390" windowWidth="19420" windowHeight="11500" xr2:uid="{95307F5F-08BF-4C0F-B20B-81165F92F841}"/>
  </bookViews>
  <sheets>
    <sheet name="TL-15255" sheetId="1" r:id="rId1"/>
  </sheets>
  <definedNames>
    <definedName name="CA_Counties_TFR_Tax_Rates__2" localSheetId="0">'TL-15255'!$S$11:$AK$947</definedName>
    <definedName name="_xlnm.Print_Area" localSheetId="0">'TL-15255'!$B$2:$J$30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2" i="1" l="1"/>
  <c r="H28" i="1"/>
  <c r="I11" i="1"/>
  <c r="H19" i="1"/>
  <c r="I10" i="1"/>
  <c r="H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A Counties TFR Tax Rates (2)1" type="6" refreshedVersion="4" background="1" saveData="1">
    <textPr codePage="437" sourceFile="C:\Documents and Settings\nmalehorn\Desktop\CA Counties TFR Tax Rates (2).txt" space="1" comma="1" semicolon="1" consecutive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<sst xmlns="http://schemas.openxmlformats.org/spreadsheetml/2006/main" count="34" uniqueCount="30">
  <si>
    <t>COREVEST AMERICAN FINANCE LENDER LLC</t>
  </si>
  <si>
    <t>Final Settlement Statement</t>
  </si>
  <si>
    <t xml:space="preserve"> </t>
  </si>
  <si>
    <t>Allocated Loan Amount</t>
  </si>
  <si>
    <t>Net Amount to Borrower</t>
  </si>
  <si>
    <t>Advance Date:</t>
  </si>
  <si>
    <r>
      <t>Borrower:</t>
    </r>
    <r>
      <rPr>
        <sz val="12"/>
        <color theme="1"/>
        <rFont val="Calibri"/>
        <family val="2"/>
        <scheme val="minor"/>
      </rPr>
      <t xml:space="preserve">     </t>
    </r>
  </si>
  <si>
    <t>Address:</t>
  </si>
  <si>
    <t>Charge Description</t>
  </si>
  <si>
    <t>Amount</t>
  </si>
  <si>
    <t>Construction Advance Amount</t>
  </si>
  <si>
    <t>Total Fees</t>
  </si>
  <si>
    <t>$</t>
  </si>
  <si>
    <t>thousand</t>
  </si>
  <si>
    <t>Total Loan Amount:</t>
  </si>
  <si>
    <t>Reimbursement to Borrower</t>
  </si>
  <si>
    <t>Wire Fee</t>
  </si>
  <si>
    <t>3rd party Inspection Fee</t>
  </si>
  <si>
    <t>Loan ID:</t>
  </si>
  <si>
    <t>Construction Management Fee</t>
  </si>
  <si>
    <t xml:space="preserve">4 Park Plaza, Suite 900, Irvine, CA 92614
</t>
  </si>
  <si>
    <t>Workday SUP Code:</t>
  </si>
  <si>
    <t>Initial Advance:</t>
  </si>
  <si>
    <t>Total Reno Drawn:</t>
  </si>
  <si>
    <t>Advance Amount:</t>
  </si>
  <si>
    <t>Interest Reserve:</t>
  </si>
  <si>
    <t>Available Balance:</t>
  </si>
  <si>
    <t>Title Fee</t>
  </si>
  <si>
    <t>Holdback % Current</t>
  </si>
  <si>
    <t>Holdback % at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</si>
</sst>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181818"/>
      <name val="Segoe UI"/>
      <family val="2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fgColor rgb="FF000000"/>
        <bgColor theme="0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rgb="FF000000"/>
      </right>
      <top style="double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rgb="FF000000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2" fillId="2" borderId="4" xfId="0" applyFont="1" applyFill="1" applyBorder="1" applyAlignment="1">
      <alignment vertical="center" wrapText="1"/>
    </xf>
    <xf numFmtId="0" fontId="5" fillId="2" borderId="0" xfId="0" applyFont="1" applyFill="1"/>
    <xf numFmtId="6" fontId="0" fillId="2" borderId="0" xfId="0" applyNumberFormat="1" applyFill="1" applyAlignment="1">
      <alignment horizontal="center" vertical="center"/>
    </xf>
    <xf numFmtId="14" fontId="0" fillId="2" borderId="0" xfId="0" applyNumberFormat="1" applyFill="1"/>
    <xf numFmtId="0" fontId="2" fillId="2" borderId="4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vertical="center" wrapText="1"/>
    </xf>
    <xf numFmtId="165" fontId="2" fillId="2" borderId="22" xfId="0" applyNumberFormat="1" applyFont="1" applyFill="1" applyBorder="1" applyAlignment="1">
      <alignment horizontal="right" vertical="center"/>
    </xf>
    <xf numFmtId="165" fontId="2" fillId="2" borderId="23" xfId="0" applyNumberFormat="1" applyFont="1" applyFill="1" applyBorder="1" applyAlignment="1">
      <alignment horizontal="right" vertical="center"/>
    </xf>
    <xf numFmtId="9" fontId="2" fillId="2" borderId="24" xfId="2" applyFont="1" applyFill="1" applyBorder="1" applyAlignment="1">
      <alignment horizontal="right" vertical="center"/>
    </xf>
    <xf numFmtId="165" fontId="5" fillId="2" borderId="22" xfId="0" applyNumberFormat="1" applyFont="1" applyFill="1" applyBorder="1" applyAlignment="1">
      <alignment horizontal="left" vertical="top"/>
    </xf>
    <xf numFmtId="165" fontId="5" fillId="2" borderId="23" xfId="0" applyNumberFormat="1" applyFont="1" applyFill="1" applyBorder="1" applyAlignment="1">
      <alignment horizontal="left" vertical="top"/>
    </xf>
    <xf numFmtId="165" fontId="5" fillId="2" borderId="29" xfId="0" applyNumberFormat="1" applyFont="1" applyFill="1" applyBorder="1" applyAlignment="1">
      <alignment horizontal="left" vertical="top"/>
    </xf>
    <xf numFmtId="0" fontId="5" fillId="2" borderId="29" xfId="0" applyFont="1" applyFill="1" applyBorder="1" applyAlignment="1">
      <alignment horizontal="left" vertical="center" wrapText="1"/>
    </xf>
    <xf numFmtId="8" fontId="0" fillId="2" borderId="0" xfId="0" applyNumberFormat="1" applyFill="1" applyAlignment="1">
      <alignment horizontal="center" vertical="center"/>
    </xf>
    <xf numFmtId="0" fontId="5" fillId="2" borderId="23" xfId="0" applyFont="1" applyFill="1" applyBorder="1" applyAlignment="1">
      <alignment horizontal="left" vertical="center" wrapText="1"/>
    </xf>
    <xf numFmtId="0" fontId="5" fillId="2" borderId="22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wrapText="1"/>
    </xf>
    <xf numFmtId="0" fontId="5" fillId="2" borderId="23" xfId="0" applyFont="1" applyFill="1" applyBorder="1" applyAlignment="1">
      <alignment horizontal="left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5" fillId="2" borderId="30" xfId="0" applyFont="1" applyFill="1" applyBorder="1" applyAlignment="1">
      <alignment horizontal="left" vertical="center" wrapText="1"/>
    </xf>
    <xf numFmtId="0" fontId="5" fillId="2" borderId="31" xfId="0" applyFont="1" applyFill="1" applyBorder="1" applyAlignment="1">
      <alignment horizontal="left" vertical="center" wrapText="1"/>
    </xf>
    <xf numFmtId="0" fontId="5" fillId="2" borderId="32" xfId="0" applyFont="1" applyFill="1" applyBorder="1" applyAlignment="1">
      <alignment horizontal="left" vertical="center" wrapText="1"/>
    </xf>
    <xf numFmtId="0" fontId="2" fillId="2" borderId="35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left" vertical="center"/>
    </xf>
    <xf numFmtId="165" fontId="5" fillId="2" borderId="13" xfId="0" applyNumberFormat="1" applyFont="1" applyFill="1" applyBorder="1" applyAlignment="1">
      <alignment horizontal="left" vertical="center"/>
    </xf>
    <xf numFmtId="165" fontId="5" fillId="2" borderId="14" xfId="0" applyNumberFormat="1" applyFont="1" applyFill="1" applyBorder="1" applyAlignment="1">
      <alignment horizontal="left" vertical="center"/>
    </xf>
    <xf numFmtId="165" fontId="5" fillId="2" borderId="26" xfId="0" applyNumberFormat="1" applyFont="1" applyFill="1" applyBorder="1" applyAlignment="1">
      <alignment horizontal="left" vertical="center"/>
    </xf>
    <xf numFmtId="165" fontId="5" fillId="2" borderId="27" xfId="0" applyNumberFormat="1" applyFont="1" applyFill="1" applyBorder="1" applyAlignment="1">
      <alignment horizontal="left" vertical="center"/>
    </xf>
    <xf numFmtId="165" fontId="5" fillId="2" borderId="28" xfId="0" applyNumberFormat="1" applyFont="1" applyFill="1" applyBorder="1" applyAlignment="1">
      <alignment horizontal="left" vertical="center"/>
    </xf>
    <xf numFmtId="165" fontId="2" fillId="2" borderId="17" xfId="0" applyNumberFormat="1" applyFont="1" applyFill="1" applyBorder="1" applyAlignment="1">
      <alignment horizontal="left" vertical="center"/>
    </xf>
    <xf numFmtId="165" fontId="2" fillId="2" borderId="18" xfId="0" applyNumberFormat="1" applyFont="1" applyFill="1" applyBorder="1" applyAlignment="1">
      <alignment horizontal="left" vertical="center"/>
    </xf>
    <xf numFmtId="165" fontId="2" fillId="2" borderId="19" xfId="0" applyNumberFormat="1" applyFont="1" applyFill="1" applyBorder="1" applyAlignment="1">
      <alignment horizontal="left" vertical="center"/>
    </xf>
    <xf numFmtId="0" fontId="5" fillId="0" borderId="0" xfId="0" applyFont="1"/>
    <xf numFmtId="164" fontId="5" fillId="0" borderId="5" xfId="1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 wrapText="1"/>
    </xf>
    <xf numFmtId="14" fontId="5" fillId="0" borderId="0" xfId="0" applyNumberFormat="1" applyFont="1" applyAlignment="1">
      <alignment horizontal="right" vertical="center" wrapText="1"/>
    </xf>
    <xf numFmtId="14" fontId="5" fillId="0" borderId="5" xfId="0" applyNumberFormat="1" applyFont="1" applyBorder="1" applyAlignment="1">
      <alignment horizontal="right" vertical="center" wrapText="1"/>
    </xf>
    <xf numFmtId="14" fontId="2" fillId="0" borderId="0" xfId="0" applyNumberFormat="1" applyFont="1" applyAlignment="1">
      <alignment horizontal="right" vertical="center" wrapText="1"/>
    </xf>
    <xf numFmtId="14" fontId="2" fillId="0" borderId="5" xfId="0" applyNumberFormat="1" applyFont="1" applyBorder="1" applyAlignment="1">
      <alignment horizontal="right" vertical="center" wrapText="1"/>
    </xf>
    <xf numFmtId="9" fontId="5" fillId="0" borderId="5" xfId="2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right" vertical="center" wrapText="1"/>
    </xf>
    <xf numFmtId="14" fontId="7" fillId="0" borderId="0" xfId="0" applyNumberFormat="1" applyFont="1" applyAlignment="1">
      <alignment horizontal="left" vertical="center"/>
    </xf>
    <xf numFmtId="165" fontId="7" fillId="0" borderId="0" xfId="1" applyNumberFormat="1" applyFont="1" applyFill="1" applyBorder="1" applyAlignment="1">
      <alignment vertical="center"/>
    </xf>
    <xf numFmtId="164" fontId="7" fillId="0" borderId="0" xfId="0" applyNumberFormat="1" applyFont="1" applyAlignment="1">
      <alignment horizontal="left" vertical="center"/>
    </xf>
    <xf numFmtId="14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65" fontId="7" fillId="2" borderId="27" xfId="0" applyNumberFormat="1" applyFont="1" applyFill="1" applyBorder="1" applyAlignment="1">
      <alignment horizontal="left" vertical="center"/>
    </xf>
    <xf numFmtId="165" fontId="7" fillId="2" borderId="23" xfId="0" applyNumberFormat="1" applyFont="1" applyFill="1" applyBorder="1" applyAlignment="1">
      <alignment horizontal="left" vertical="top"/>
    </xf>
    <xf numFmtId="0" fontId="7" fillId="2" borderId="23" xfId="0" applyFont="1" applyFill="1" applyBorder="1" applyAlignment="1">
      <alignment horizontal="left" vertical="center"/>
    </xf>
    <xf numFmtId="164" fontId="7" fillId="0" borderId="0" xfId="1" applyNumberFormat="1" applyFont="1" applyAlignment="1">
      <alignment horizontal="center" vertical="center" wrapText="1"/>
    </xf>
    <xf numFmtId="164" fontId="5" fillId="0" borderId="0" xfId="1" applyNumberFormat="1" applyFont="1" applyAlignment="1">
      <alignment horizontal="center" vertical="center" wrapText="1"/>
    </xf>
    <xf numFmtId="164" fontId="6" fillId="0" borderId="0" xfId="0" applyNumberFormat="1" applyFont="1"/>
    <xf numFmtId="7" fontId="5" fillId="0" borderId="20" xfId="0" applyNumberFormat="1" applyFont="1" applyBorder="1" applyAlignment="1">
      <alignment horizontal="right" vertical="center"/>
    </xf>
    <xf numFmtId="7" fontId="5" fillId="0" borderId="21" xfId="0" applyNumberFormat="1" applyFont="1" applyBorder="1" applyAlignment="1">
      <alignment horizontal="right" vertical="center"/>
    </xf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7" fontId="5" fillId="0" borderId="15" xfId="0" applyNumberFormat="1" applyFont="1" applyBorder="1" applyAlignment="1">
      <alignment horizontal="right" vertical="center"/>
    </xf>
    <xf numFmtId="7" fontId="5" fillId="0" borderId="16" xfId="0" applyNumberFormat="1" applyFont="1" applyBorder="1" applyAlignment="1">
      <alignment horizontal="right" vertical="center"/>
    </xf>
    <xf numFmtId="43" fontId="2" fillId="0" borderId="20" xfId="0" applyNumberFormat="1" applyFont="1" applyBorder="1" applyAlignment="1">
      <alignment horizontal="right" vertical="center"/>
    </xf>
    <xf numFmtId="7" fontId="2" fillId="0" borderId="21" xfId="0" applyNumberFormat="1" applyFont="1" applyBorder="1" applyAlignment="1">
      <alignment horizontal="right" vertical="center"/>
    </xf>
    <xf numFmtId="164" fontId="2" fillId="2" borderId="25" xfId="0" applyNumberFormat="1" applyFont="1" applyFill="1" applyBorder="1" applyAlignment="1">
      <alignment horizontal="right" vertical="center" wrapText="1"/>
    </xf>
    <xf numFmtId="164" fontId="2" fillId="2" borderId="21" xfId="0" applyNumberFormat="1" applyFont="1" applyFill="1" applyBorder="1" applyAlignment="1">
      <alignment horizontal="right" vertical="center" wrapText="1"/>
    </xf>
    <xf numFmtId="164" fontId="2" fillId="2" borderId="20" xfId="0" applyNumberFormat="1" applyFont="1" applyFill="1" applyBorder="1" applyAlignment="1">
      <alignment horizontal="right" vertical="center" wrapText="1"/>
    </xf>
    <xf numFmtId="164" fontId="5" fillId="2" borderId="33" xfId="0" applyNumberFormat="1" applyFont="1" applyFill="1" applyBorder="1" applyAlignment="1">
      <alignment horizontal="right" vertical="top" wrapText="1"/>
    </xf>
    <xf numFmtId="164" fontId="5" fillId="2" borderId="34" xfId="0" applyNumberFormat="1" applyFont="1" applyFill="1" applyBorder="1" applyAlignment="1">
      <alignment horizontal="right" vertical="top" wrapText="1"/>
    </xf>
    <xf numFmtId="164" fontId="2" fillId="2" borderId="36" xfId="0" applyNumberFormat="1" applyFont="1" applyFill="1" applyBorder="1" applyAlignment="1">
      <alignment horizontal="right" vertical="top" wrapText="1"/>
    </xf>
    <xf numFmtId="164" fontId="2" fillId="2" borderId="8" xfId="0" applyNumberFormat="1" applyFont="1" applyFill="1" applyBorder="1" applyAlignment="1">
      <alignment horizontal="right" vertical="top" wrapText="1"/>
    </xf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 Counties TFR Tax Rates (2)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F431-7C9E-4377-9A50-5E6FF7596A99}">
  <dimension ref="B1:AK870"/>
  <sheetViews>
    <sheetView tabSelected="1" zoomScaleNormal="100" zoomScaleSheetLayoutView="85" workbookViewId="0">
      <selection activeCell="H8" sqref="H8"/>
    </sheetView>
  </sheetViews>
  <sheetFormatPr defaultColWidth="9.140625" defaultRowHeight="15" x14ac:dyDescent="0.25"/>
  <cols>
    <col min="1" max="1" width="6.42578125" style="1" customWidth="1"/>
    <col min="2" max="2" width="2" style="1" customWidth="1"/>
    <col min="3" max="3" width="20.42578125" style="1" customWidth="1"/>
    <col min="4" max="4" width="15.42578125" style="1" bestFit="1" customWidth="1"/>
    <col min="5" max="5" width="9.140625" style="1"/>
    <col min="6" max="6" width="22.42578125" style="1" customWidth="1"/>
    <col min="7" max="7" width="10.5703125" style="1" customWidth="1"/>
    <col min="8" max="8" width="17" style="1" customWidth="1"/>
    <col min="9" max="9" width="15" style="1" bestFit="1" customWidth="1"/>
    <col min="10" max="10" width="1.5703125" style="1" customWidth="1"/>
    <col min="11" max="11" width="4" style="1" customWidth="1"/>
    <col min="12" max="18" width="9.140625" style="1"/>
    <col min="19" max="19" width="15.140625" style="2" bestFit="1" customWidth="1"/>
    <col min="20" max="20" width="15.140625" style="2" customWidth="1"/>
    <col min="21" max="22" width="24.5703125" style="2" customWidth="1"/>
    <col min="23" max="23" width="12.85546875" style="2" customWidth="1"/>
    <col min="24" max="24" width="11.5703125" style="2" customWidth="1"/>
    <col min="25" max="25" width="14" style="2" customWidth="1"/>
    <col min="26" max="26" width="12.42578125" style="2" customWidth="1"/>
    <col min="27" max="27" width="7.140625" style="2" customWidth="1"/>
    <col min="28" max="28" width="6.42578125" style="2" customWidth="1"/>
    <col min="29" max="29" width="5" style="2" customWidth="1"/>
    <col min="30" max="30" width="9.85546875" style="2" customWidth="1"/>
    <col min="31" max="31" width="5" style="2" customWidth="1"/>
    <col min="32" max="32" width="2" style="2" customWidth="1"/>
    <col min="33" max="33" width="4" style="2" customWidth="1"/>
    <col min="34" max="34" width="9.42578125" style="1" bestFit="1" customWidth="1"/>
    <col min="35" max="35" width="5" style="1" customWidth="1"/>
    <col min="36" max="36" width="2" style="1" customWidth="1"/>
    <col min="37" max="37" width="4" style="1" customWidth="1"/>
    <col min="38" max="16384" width="9.140625" style="1"/>
  </cols>
  <sheetData>
    <row r="1" spans="3:33" x14ac:dyDescent="0.25">
      <c r="M1" s="2"/>
      <c r="N1" s="2"/>
      <c r="O1" s="2"/>
      <c r="P1" s="2"/>
      <c r="Q1" s="2"/>
      <c r="R1" s="2"/>
      <c r="T1" s="2">
        <v>1</v>
      </c>
      <c r="AB1" s="1"/>
      <c r="AC1" s="1"/>
      <c r="AD1" s="1"/>
      <c r="AE1" s="1"/>
      <c r="AF1" s="1"/>
      <c r="AG1" s="1"/>
    </row>
    <row r="2" spans="3:33" ht="15.75" thickBot="1" x14ac:dyDescent="0.3">
      <c r="M2" s="2"/>
      <c r="N2" s="2"/>
      <c r="O2" s="2"/>
      <c r="P2" s="2"/>
      <c r="Q2" s="2"/>
      <c r="R2" s="2"/>
      <c r="AB2" s="1"/>
      <c r="AC2" s="1"/>
      <c r="AD2" s="1"/>
      <c r="AE2" s="1"/>
      <c r="AF2" s="1"/>
      <c r="AG2" s="1"/>
    </row>
    <row r="3" spans="3:33" ht="15.75" x14ac:dyDescent="0.25">
      <c r="C3" s="75" t="s">
        <v>0</v>
      </c>
      <c r="D3" s="76"/>
      <c r="E3" s="76"/>
      <c r="F3" s="76"/>
      <c r="G3" s="76"/>
      <c r="H3" s="76"/>
      <c r="I3" s="77"/>
      <c r="M3" s="2"/>
      <c r="N3" s="2"/>
      <c r="O3" s="2"/>
      <c r="P3" s="2"/>
      <c r="Q3" s="2"/>
      <c r="R3" s="2"/>
      <c r="AB3" s="1"/>
      <c r="AC3" s="1"/>
      <c r="AD3" s="1"/>
      <c r="AE3" s="1"/>
      <c r="AF3" s="1"/>
      <c r="AG3" s="1"/>
    </row>
    <row r="4" spans="3:33" ht="15.75" x14ac:dyDescent="0.25">
      <c r="C4" s="78" t="s">
        <v>20</v>
      </c>
      <c r="D4" s="79"/>
      <c r="E4" s="79"/>
      <c r="F4" s="79"/>
      <c r="G4" s="79"/>
      <c r="H4" s="79"/>
      <c r="I4" s="80"/>
      <c r="M4" s="2"/>
      <c r="N4" s="2"/>
      <c r="O4" s="2"/>
      <c r="P4" s="2"/>
      <c r="Q4" s="2"/>
      <c r="R4" s="2"/>
      <c r="AB4" s="1"/>
      <c r="AC4" s="1"/>
      <c r="AD4" s="1"/>
      <c r="AE4" s="1"/>
      <c r="AF4" s="1"/>
      <c r="AG4" s="1"/>
    </row>
    <row r="5" spans="3:33" ht="15.75" x14ac:dyDescent="0.25">
      <c r="C5" s="81" t="s">
        <v>1</v>
      </c>
      <c r="D5" s="82"/>
      <c r="E5" s="82"/>
      <c r="F5" s="82"/>
      <c r="G5" s="82"/>
      <c r="H5" s="82"/>
      <c r="I5" s="83"/>
      <c r="M5" s="2"/>
      <c r="N5" s="2"/>
      <c r="O5" s="2"/>
      <c r="P5" s="2"/>
      <c r="Q5" s="2"/>
      <c r="R5" s="2"/>
      <c r="AB5" s="1"/>
      <c r="AC5" s="1"/>
      <c r="AD5" s="1"/>
      <c r="AE5" s="1"/>
      <c r="AF5" s="1"/>
      <c r="AG5" s="1"/>
    </row>
    <row r="6" spans="3:33" ht="18.95" customHeight="1" x14ac:dyDescent="0.25">
      <c r="C6" s="81" t="s">
        <v>2</v>
      </c>
      <c r="D6" s="82"/>
      <c r="E6" s="82"/>
      <c r="F6" s="82"/>
      <c r="G6" s="82"/>
      <c r="H6" s="82"/>
      <c r="I6" s="83"/>
      <c r="M6" s="2"/>
      <c r="N6" s="2"/>
      <c r="O6" s="2"/>
      <c r="P6" s="2"/>
      <c r="Q6" s="2"/>
      <c r="R6" s="2"/>
      <c r="AB6" s="1"/>
      <c r="AC6" s="1"/>
      <c r="AD6" s="1"/>
      <c r="AE6" s="1"/>
      <c r="AF6" s="1"/>
      <c r="AG6" s="1"/>
    </row>
    <row r="7" spans="3:33" ht="31.5" x14ac:dyDescent="0.25">
      <c r="C7" s="3" t="s">
        <v>14</v>
      </c>
      <c r="D7" s="67"/>
      <c r="E7" s="61"/>
      <c r="F7" s="42" t="s">
        <v>18</v>
      </c>
      <c r="G7" s="97"/>
      <c r="H7" s="97"/>
      <c r="I7" s="98"/>
      <c r="M7" s="2"/>
      <c r="N7" s="2"/>
      <c r="O7" s="2"/>
      <c r="P7" s="2"/>
      <c r="Q7" s="2"/>
      <c r="R7" s="2"/>
      <c r="AB7" s="1"/>
      <c r="AC7" s="1"/>
      <c r="AD7" s="1"/>
      <c r="AE7" s="1"/>
      <c r="AF7" s="1"/>
      <c r="AG7" s="1"/>
    </row>
    <row r="8" spans="3:33" ht="15.75" x14ac:dyDescent="0.25">
      <c r="C8" s="3" t="s">
        <v>22</v>
      </c>
      <c r="D8" s="68"/>
      <c r="E8" s="63"/>
      <c r="F8" s="44" t="s">
        <v>28</v>
      </c>
      <c r="G8" s="40"/>
      <c r="H8" s="60"/>
      <c r="I8" s="53">
        <v>1</v>
      </c>
      <c r="M8" s="2"/>
      <c r="N8" s="2"/>
      <c r="O8" s="2"/>
      <c r="P8" s="2"/>
      <c r="Q8" s="2"/>
      <c r="R8" s="2"/>
      <c r="AB8" s="1"/>
      <c r="AC8" s="1"/>
      <c r="AD8" s="1"/>
      <c r="AE8" s="1"/>
      <c r="AF8" s="1"/>
      <c r="AG8" s="1"/>
    </row>
    <row r="9" spans="3:33" ht="16.5" x14ac:dyDescent="0.3">
      <c r="C9" s="3" t="s">
        <v>23</v>
      </c>
      <c r="D9" s="69">
        <v>0</v>
      </c>
      <c r="E9" s="63"/>
      <c r="F9" s="44" t="s">
        <v>29</v>
      </c>
      <c r="G9" s="40"/>
      <c r="H9" s="62"/>
      <c r="I9" s="53"/>
      <c r="M9" s="2"/>
      <c r="N9" s="2"/>
      <c r="O9" s="2"/>
      <c r="P9" s="2"/>
      <c r="Q9" s="2"/>
      <c r="R9" s="2"/>
      <c r="AB9" s="1"/>
      <c r="AC9" s="1"/>
      <c r="AD9" s="1"/>
      <c r="AE9" s="1"/>
      <c r="AF9" s="1"/>
      <c r="AG9" s="1"/>
    </row>
    <row r="10" spans="3:33" ht="15.75" x14ac:dyDescent="0.25">
      <c r="C10" s="3" t="s">
        <v>24</v>
      </c>
      <c r="D10" s="68"/>
      <c r="E10" s="59"/>
      <c r="F10" s="44" t="s">
        <v>3</v>
      </c>
      <c r="G10" s="40"/>
      <c r="H10" s="60"/>
      <c r="I10" s="41">
        <f>D9-D10</f>
        <v>0</v>
      </c>
      <c r="M10" s="2"/>
      <c r="N10" s="2"/>
      <c r="O10" s="2"/>
      <c r="P10" s="2"/>
      <c r="Q10" s="2"/>
      <c r="R10" s="2"/>
      <c r="AB10" s="1"/>
      <c r="AC10" s="1"/>
      <c r="AD10" s="1"/>
      <c r="AE10" s="1"/>
      <c r="AF10" s="1"/>
      <c r="AG10" s="1"/>
    </row>
    <row r="11" spans="3:33" ht="16.5" customHeight="1" x14ac:dyDescent="0.25">
      <c r="C11" s="3" t="s">
        <v>25</v>
      </c>
      <c r="D11" s="68"/>
      <c r="E11" s="61"/>
      <c r="F11" s="44" t="s">
        <v>4</v>
      </c>
      <c r="G11" s="40"/>
      <c r="H11" s="60"/>
      <c r="I11" s="41">
        <f>H28</f>
        <v>0</v>
      </c>
      <c r="M11" s="2"/>
      <c r="N11" s="2"/>
      <c r="O11" s="2"/>
      <c r="P11" s="2"/>
      <c r="Q11" s="2"/>
      <c r="R11" s="2"/>
      <c r="AB11" s="1"/>
      <c r="AC11" s="1"/>
      <c r="AD11" s="1"/>
      <c r="AE11" s="1"/>
      <c r="AF11" s="1"/>
      <c r="AG11" s="1"/>
    </row>
    <row r="12" spans="3:33" ht="16.5" customHeight="1" x14ac:dyDescent="0.25">
      <c r="C12" s="3" t="s">
        <v>26</v>
      </c>
      <c r="D12" s="68">
        <f>D7-D8-D9-D10-D11</f>
        <v>0</v>
      </c>
      <c r="E12" s="63"/>
      <c r="F12" s="42" t="s">
        <v>21</v>
      </c>
      <c r="G12" s="49"/>
      <c r="H12" s="59"/>
      <c r="I12" s="50"/>
      <c r="M12" s="2"/>
      <c r="N12" s="2"/>
      <c r="O12" s="2"/>
      <c r="P12" s="5"/>
      <c r="Q12" s="2"/>
      <c r="R12" s="2"/>
      <c r="T12" s="5"/>
      <c r="AB12" s="1"/>
      <c r="AC12" s="1"/>
      <c r="AD12" s="1"/>
      <c r="AE12" s="1"/>
      <c r="AF12" s="1"/>
      <c r="AG12" s="1"/>
    </row>
    <row r="13" spans="3:33" ht="15" customHeight="1" x14ac:dyDescent="0.25">
      <c r="C13" s="3"/>
      <c r="D13" s="43"/>
      <c r="E13" s="57"/>
      <c r="F13" s="42" t="s">
        <v>5</v>
      </c>
      <c r="G13" s="51"/>
      <c r="H13" s="58"/>
      <c r="I13" s="52"/>
      <c r="K13" s="6"/>
      <c r="M13" s="2"/>
      <c r="N13" s="2"/>
      <c r="O13" s="2"/>
      <c r="P13" s="2"/>
      <c r="Q13" s="2"/>
      <c r="R13" s="2"/>
      <c r="AB13" s="1"/>
      <c r="AC13" s="1"/>
      <c r="AD13" s="1"/>
      <c r="AE13" s="1"/>
      <c r="AF13" s="1"/>
      <c r="AG13" s="1"/>
    </row>
    <row r="14" spans="3:33" ht="15.75" x14ac:dyDescent="0.25">
      <c r="C14" s="7" t="s">
        <v>6</v>
      </c>
      <c r="D14" s="54"/>
      <c r="E14" s="63"/>
      <c r="F14" s="42"/>
      <c r="G14" s="72"/>
      <c r="H14" s="73"/>
      <c r="I14" s="74"/>
      <c r="M14" s="2"/>
      <c r="N14" s="2"/>
      <c r="O14" s="2"/>
      <c r="P14" s="2"/>
      <c r="Q14" s="2"/>
      <c r="R14" s="2"/>
      <c r="T14" s="5"/>
      <c r="X14" s="5"/>
      <c r="AB14" s="1"/>
      <c r="AC14" s="1"/>
      <c r="AD14" s="1"/>
      <c r="AE14" s="1"/>
      <c r="AF14" s="1"/>
      <c r="AG14" s="1"/>
    </row>
    <row r="15" spans="3:33" ht="27.75" customHeight="1" thickBot="1" x14ac:dyDescent="0.3">
      <c r="C15" s="8" t="s">
        <v>7</v>
      </c>
      <c r="D15" s="47"/>
      <c r="E15" s="63"/>
      <c r="F15" s="54"/>
      <c r="G15" s="54"/>
      <c r="H15" s="45"/>
      <c r="I15" s="46"/>
      <c r="M15" s="2"/>
      <c r="N15" s="2"/>
      <c r="O15" s="2"/>
      <c r="P15" s="2"/>
      <c r="Q15" s="2"/>
      <c r="R15" s="2"/>
      <c r="AB15" s="1"/>
      <c r="AC15" s="1"/>
      <c r="AD15" s="1"/>
      <c r="AE15" s="1"/>
      <c r="AF15" s="1"/>
      <c r="AG15" s="1"/>
    </row>
    <row r="16" spans="3:33" ht="16.5" thickBot="1" x14ac:dyDescent="0.3">
      <c r="C16" s="4"/>
      <c r="D16" s="40"/>
      <c r="E16" s="40"/>
      <c r="F16" s="47"/>
      <c r="G16" s="47"/>
      <c r="H16" s="47"/>
      <c r="I16" s="48"/>
    </row>
    <row r="17" spans="3:9" ht="16.5" thickBot="1" x14ac:dyDescent="0.3">
      <c r="C17" s="28" t="s">
        <v>8</v>
      </c>
      <c r="D17" s="29"/>
      <c r="E17" s="29"/>
      <c r="F17" s="29"/>
      <c r="G17" s="30"/>
      <c r="H17" s="84" t="s">
        <v>9</v>
      </c>
      <c r="I17" s="85"/>
    </row>
    <row r="18" spans="3:9" ht="16.5" thickTop="1" x14ac:dyDescent="0.25">
      <c r="C18" s="31"/>
      <c r="D18" s="32"/>
      <c r="E18" s="32"/>
      <c r="F18" s="32"/>
      <c r="G18" s="33"/>
      <c r="H18" s="86"/>
      <c r="I18" s="87"/>
    </row>
    <row r="19" spans="3:9" ht="15.75" x14ac:dyDescent="0.25">
      <c r="C19" s="37" t="s">
        <v>10</v>
      </c>
      <c r="D19" s="38"/>
      <c r="E19" s="38"/>
      <c r="F19" s="60"/>
      <c r="G19" s="39"/>
      <c r="H19" s="88">
        <f>D10</f>
        <v>0</v>
      </c>
      <c r="I19" s="89"/>
    </row>
    <row r="20" spans="3:9" ht="15.75" x14ac:dyDescent="0.25">
      <c r="C20" s="9"/>
      <c r="D20" s="10"/>
      <c r="E20" s="10"/>
      <c r="F20" s="10"/>
      <c r="G20" s="11"/>
      <c r="H20" s="90"/>
      <c r="I20" s="91"/>
    </row>
    <row r="21" spans="3:9" ht="15.75" x14ac:dyDescent="0.25">
      <c r="C21" s="34" t="s">
        <v>17</v>
      </c>
      <c r="D21" s="35"/>
      <c r="E21" s="35"/>
      <c r="F21" s="64"/>
      <c r="G21" s="36"/>
      <c r="H21" s="70">
        <v>0</v>
      </c>
      <c r="I21" s="71"/>
    </row>
    <row r="22" spans="3:9" ht="15.75" x14ac:dyDescent="0.25">
      <c r="C22" s="12" t="s">
        <v>16</v>
      </c>
      <c r="D22" s="13"/>
      <c r="E22" s="13"/>
      <c r="F22" s="65"/>
      <c r="G22" s="14"/>
      <c r="H22" s="70">
        <v>0</v>
      </c>
      <c r="I22" s="71"/>
    </row>
    <row r="23" spans="3:9" ht="15.75" x14ac:dyDescent="0.25">
      <c r="C23" s="18" t="s">
        <v>19</v>
      </c>
      <c r="D23" s="13"/>
      <c r="E23" s="13"/>
      <c r="F23" s="65"/>
      <c r="G23" s="14"/>
      <c r="H23" s="70">
        <v>0</v>
      </c>
      <c r="I23" s="71"/>
    </row>
    <row r="24" spans="3:9" ht="15.75" x14ac:dyDescent="0.25">
      <c r="C24" s="18" t="s">
        <v>27</v>
      </c>
      <c r="D24" s="17"/>
      <c r="E24" s="17"/>
      <c r="F24" s="66"/>
      <c r="G24" s="15"/>
      <c r="H24" s="70">
        <v>0</v>
      </c>
      <c r="I24" s="71"/>
    </row>
    <row r="25" spans="3:9" ht="15.75" x14ac:dyDescent="0.25">
      <c r="C25" s="19"/>
      <c r="D25" s="20"/>
      <c r="E25" s="20"/>
      <c r="F25" s="20"/>
      <c r="G25" s="15"/>
      <c r="H25" s="70"/>
      <c r="I25" s="71"/>
    </row>
    <row r="26" spans="3:9" ht="15.6" customHeight="1" x14ac:dyDescent="0.25">
      <c r="C26" s="21" t="s">
        <v>11</v>
      </c>
      <c r="D26" s="22"/>
      <c r="E26" s="22"/>
      <c r="F26" s="60"/>
      <c r="G26" s="23"/>
      <c r="H26" s="92">
        <f>SUM(H21:I25)</f>
        <v>0</v>
      </c>
      <c r="I26" s="91"/>
    </row>
    <row r="27" spans="3:9" ht="16.5" thickBot="1" x14ac:dyDescent="0.3">
      <c r="C27" s="24"/>
      <c r="D27" s="25"/>
      <c r="E27" s="25"/>
      <c r="F27" s="25"/>
      <c r="G27" s="26"/>
      <c r="H27" s="93"/>
      <c r="I27" s="94"/>
    </row>
    <row r="28" spans="3:9" ht="33" thickTop="1" thickBot="1" x14ac:dyDescent="0.3">
      <c r="C28" s="55" t="s">
        <v>15</v>
      </c>
      <c r="D28" s="56"/>
      <c r="E28" s="56"/>
      <c r="F28" s="56"/>
      <c r="G28" s="27"/>
      <c r="H28" s="95">
        <f>H19-H26</f>
        <v>0</v>
      </c>
      <c r="I28" s="96"/>
    </row>
    <row r="30" spans="3:9" ht="5.25" customHeight="1" x14ac:dyDescent="0.25"/>
    <row r="90" spans="2:37" x14ac:dyDescent="0.25">
      <c r="B90" s="2"/>
    </row>
    <row r="91" spans="2:37" s="2" customFormat="1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V91" s="5"/>
      <c r="Z91" s="5"/>
      <c r="AH91" s="1"/>
      <c r="AI91" s="1"/>
      <c r="AJ91" s="1"/>
      <c r="AK91" s="1"/>
    </row>
    <row r="93" spans="2:37" x14ac:dyDescent="0.25">
      <c r="Z93" s="5"/>
      <c r="AD93" s="5"/>
    </row>
    <row r="95" spans="2:37" x14ac:dyDescent="0.25">
      <c r="AH95" s="1" t="s">
        <v>12</v>
      </c>
      <c r="AI95" s="1">
        <v>0.55000000000000004</v>
      </c>
      <c r="AJ95" s="1" t="s">
        <v>12</v>
      </c>
      <c r="AK95" s="1">
        <v>1.1000000000000001</v>
      </c>
    </row>
    <row r="109" spans="34:34" x14ac:dyDescent="0.25">
      <c r="AH109" s="1">
        <v>1.1000000000000001</v>
      </c>
    </row>
    <row r="117" spans="34:35" x14ac:dyDescent="0.25">
      <c r="AH117" s="1" t="s">
        <v>12</v>
      </c>
      <c r="AI117" s="1">
        <v>1.1000000000000001</v>
      </c>
    </row>
    <row r="168" spans="2:37" x14ac:dyDescent="0.25">
      <c r="B168" s="2"/>
    </row>
    <row r="169" spans="2:37" s="2" customFormat="1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V169" s="5"/>
      <c r="Z169" s="5"/>
      <c r="AH169" s="1"/>
      <c r="AI169" s="1"/>
      <c r="AJ169" s="1"/>
      <c r="AK169" s="1"/>
    </row>
    <row r="170" spans="2:37" x14ac:dyDescent="0.25">
      <c r="B170" s="2"/>
    </row>
    <row r="171" spans="2:37" s="2" customFormat="1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Z171" s="5"/>
      <c r="AD171" s="5"/>
      <c r="AH171" s="1"/>
      <c r="AI171" s="1"/>
      <c r="AJ171" s="1"/>
      <c r="AK171" s="1"/>
    </row>
    <row r="246" spans="2:37" x14ac:dyDescent="0.25">
      <c r="B246" s="2"/>
    </row>
    <row r="247" spans="2:37" s="2" customFormat="1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V247" s="5"/>
      <c r="Z247" s="5"/>
      <c r="AH247" s="1"/>
      <c r="AI247" s="1"/>
      <c r="AJ247" s="1"/>
      <c r="AK247" s="1"/>
    </row>
    <row r="248" spans="2:37" x14ac:dyDescent="0.25">
      <c r="B248" s="2"/>
    </row>
    <row r="249" spans="2:37" s="2" customFormat="1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Z249" s="5"/>
      <c r="AD249" s="5"/>
      <c r="AH249" s="1"/>
      <c r="AI249" s="1"/>
      <c r="AJ249" s="1"/>
      <c r="AK249" s="1"/>
    </row>
    <row r="276" spans="34:34" x14ac:dyDescent="0.25">
      <c r="AH276" s="1">
        <v>1.1000000000000001</v>
      </c>
    </row>
    <row r="277" spans="34:34" x14ac:dyDescent="0.25">
      <c r="AH277" s="1">
        <v>1.1000000000000001</v>
      </c>
    </row>
    <row r="300" spans="22:30" x14ac:dyDescent="0.25">
      <c r="V300" s="5"/>
      <c r="Z300" s="5"/>
    </row>
    <row r="302" spans="22:30" x14ac:dyDescent="0.25">
      <c r="Z302" s="5"/>
      <c r="AD302" s="5"/>
    </row>
    <row r="305" spans="34:34" x14ac:dyDescent="0.25">
      <c r="AH305" s="1">
        <v>1.1000000000000001</v>
      </c>
    </row>
    <row r="310" spans="34:34" x14ac:dyDescent="0.25">
      <c r="AH310" s="1">
        <v>1.1000000000000001</v>
      </c>
    </row>
    <row r="313" spans="34:34" x14ac:dyDescent="0.25">
      <c r="AH313" s="1">
        <v>1.1000000000000001</v>
      </c>
    </row>
    <row r="320" spans="34:34" x14ac:dyDescent="0.25">
      <c r="AH320" s="1">
        <v>1.1000000000000001</v>
      </c>
    </row>
    <row r="324" spans="34:34" x14ac:dyDescent="0.25">
      <c r="AH324" s="1">
        <v>1.1000000000000001</v>
      </c>
    </row>
    <row r="361" spans="2:37" x14ac:dyDescent="0.25">
      <c r="B361" s="2"/>
    </row>
    <row r="362" spans="2:37" s="2" customFormat="1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V362" s="5"/>
      <c r="Z362" s="5"/>
      <c r="AH362" s="1"/>
      <c r="AI362" s="1"/>
      <c r="AJ362" s="1"/>
      <c r="AK362" s="1"/>
    </row>
    <row r="364" spans="2:37" x14ac:dyDescent="0.25">
      <c r="Z364" s="5"/>
      <c r="AD364" s="5"/>
    </row>
    <row r="376" spans="34:34" x14ac:dyDescent="0.25">
      <c r="AH376" s="1">
        <v>1.1000000000000001</v>
      </c>
    </row>
    <row r="402" spans="34:34" x14ac:dyDescent="0.25">
      <c r="AH402" s="1">
        <v>1.1000000000000001</v>
      </c>
    </row>
    <row r="409" spans="34:34" x14ac:dyDescent="0.25">
      <c r="AH409" s="1">
        <v>1.1000000000000001</v>
      </c>
    </row>
    <row r="425" spans="34:34" x14ac:dyDescent="0.25">
      <c r="AH425" s="1">
        <v>1.1000000000000001</v>
      </c>
    </row>
    <row r="443" spans="2:34" x14ac:dyDescent="0.25">
      <c r="AH443" s="1">
        <v>1.1000000000000001</v>
      </c>
    </row>
    <row r="448" spans="2:34" x14ac:dyDescent="0.25">
      <c r="B448" s="2"/>
    </row>
    <row r="449" spans="2:37" s="2" customFormat="1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V449" s="5"/>
      <c r="Z449" s="5"/>
      <c r="AH449" s="1"/>
      <c r="AI449" s="1"/>
      <c r="AJ449" s="1"/>
      <c r="AK449" s="1"/>
    </row>
    <row r="450" spans="2:37" x14ac:dyDescent="0.25">
      <c r="B450" s="2"/>
    </row>
    <row r="451" spans="2:37" s="2" customFormat="1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Z451" s="5"/>
      <c r="AD451" s="5"/>
      <c r="AH451" s="1"/>
      <c r="AI451" s="1"/>
      <c r="AJ451" s="1"/>
      <c r="AK451" s="1"/>
    </row>
    <row r="476" spans="34:34" x14ac:dyDescent="0.25">
      <c r="AH476" s="1">
        <v>1.1000000000000001</v>
      </c>
    </row>
    <row r="478" spans="34:34" x14ac:dyDescent="0.25">
      <c r="AH478" s="1">
        <v>1.1000000000000001</v>
      </c>
    </row>
    <row r="513" spans="2:37" x14ac:dyDescent="0.25">
      <c r="B513" s="2"/>
    </row>
    <row r="514" spans="2:37" s="2" customFormat="1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V514" s="5"/>
      <c r="Z514" s="5"/>
      <c r="AH514" s="1"/>
      <c r="AI514" s="1"/>
      <c r="AJ514" s="1"/>
      <c r="AK514" s="1"/>
    </row>
    <row r="515" spans="2:37" x14ac:dyDescent="0.25">
      <c r="B515" s="2"/>
    </row>
    <row r="516" spans="2:37" s="2" customFormat="1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Z516" s="5"/>
      <c r="AD516" s="5"/>
      <c r="AH516" s="1"/>
      <c r="AI516" s="1"/>
      <c r="AJ516" s="1"/>
      <c r="AK516" s="1"/>
    </row>
    <row r="546" spans="34:35" x14ac:dyDescent="0.25">
      <c r="AH546" s="1">
        <v>1.1000000000000001</v>
      </c>
    </row>
    <row r="560" spans="34:35" x14ac:dyDescent="0.25">
      <c r="AH560" s="1" t="s">
        <v>12</v>
      </c>
      <c r="AI560" s="1">
        <v>1.1000000000000001</v>
      </c>
    </row>
    <row r="579" spans="2:37" x14ac:dyDescent="0.25">
      <c r="B579" s="2"/>
    </row>
    <row r="580" spans="2:37" s="2" customFormat="1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V580" s="5"/>
      <c r="Z580" s="5"/>
      <c r="AH580" s="1"/>
      <c r="AI580" s="1"/>
      <c r="AJ580" s="1"/>
      <c r="AK580" s="1"/>
    </row>
    <row r="581" spans="2:37" x14ac:dyDescent="0.25">
      <c r="B581" s="2"/>
    </row>
    <row r="582" spans="2:37" s="2" customFormat="1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Z582" s="5"/>
      <c r="AD582" s="5"/>
      <c r="AH582" s="1"/>
      <c r="AI582" s="1"/>
      <c r="AJ582" s="1"/>
      <c r="AK582" s="1"/>
    </row>
    <row r="622" spans="22:28" x14ac:dyDescent="0.25">
      <c r="V622" s="5"/>
    </row>
    <row r="623" spans="22:28" x14ac:dyDescent="0.25">
      <c r="W623" s="16"/>
      <c r="AB623" s="16"/>
    </row>
    <row r="624" spans="22:28" x14ac:dyDescent="0.25">
      <c r="V624" s="16"/>
      <c r="Z624" s="5"/>
    </row>
    <row r="625" spans="26:34" x14ac:dyDescent="0.25">
      <c r="AA625" s="16"/>
      <c r="AF625" s="16"/>
      <c r="AH625" s="1" t="s">
        <v>13</v>
      </c>
    </row>
    <row r="626" spans="26:34" x14ac:dyDescent="0.25">
      <c r="Z626" s="16"/>
    </row>
    <row r="661" spans="2:37" x14ac:dyDescent="0.25">
      <c r="B661" s="2"/>
    </row>
    <row r="662" spans="2:37" s="2" customFormat="1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V662" s="5"/>
      <c r="Z662" s="5"/>
      <c r="AH662" s="1"/>
      <c r="AI662" s="1"/>
      <c r="AJ662" s="1"/>
      <c r="AK662" s="1"/>
    </row>
    <row r="663" spans="2:37" x14ac:dyDescent="0.25">
      <c r="B663" s="2"/>
    </row>
    <row r="664" spans="2:37" s="2" customFormat="1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Z664" s="5"/>
      <c r="AD664" s="5"/>
      <c r="AH664" s="1"/>
      <c r="AI664" s="1"/>
      <c r="AJ664" s="1"/>
      <c r="AK664" s="1"/>
    </row>
    <row r="672" spans="2:37" x14ac:dyDescent="0.25">
      <c r="AH672" s="1">
        <v>1.1000000000000001</v>
      </c>
    </row>
    <row r="674" spans="34:35" x14ac:dyDescent="0.25">
      <c r="AH674" s="1" t="s">
        <v>12</v>
      </c>
      <c r="AI674" s="1">
        <v>1.1000000000000001</v>
      </c>
    </row>
    <row r="690" spans="34:34" x14ac:dyDescent="0.25">
      <c r="AH690" s="1">
        <v>1.1000000000000001</v>
      </c>
    </row>
    <row r="692" spans="34:34" x14ac:dyDescent="0.25">
      <c r="AH692" s="1">
        <v>1.1000000000000001</v>
      </c>
    </row>
    <row r="702" spans="34:34" x14ac:dyDescent="0.25">
      <c r="AH702" s="1">
        <v>1.1000000000000001</v>
      </c>
    </row>
    <row r="742" spans="2:37" x14ac:dyDescent="0.25">
      <c r="B742" s="2"/>
    </row>
    <row r="743" spans="2:37" s="2" customFormat="1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V743" s="5"/>
      <c r="Z743" s="5"/>
      <c r="AH743" s="1"/>
      <c r="AI743" s="1"/>
      <c r="AJ743" s="1"/>
      <c r="AK743" s="1"/>
    </row>
    <row r="744" spans="2:37" x14ac:dyDescent="0.25">
      <c r="B744" s="2"/>
    </row>
    <row r="745" spans="2:37" s="2" customFormat="1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Z745" s="5"/>
      <c r="AD745" s="5"/>
      <c r="AH745" s="1"/>
      <c r="AI745" s="1"/>
      <c r="AJ745" s="1"/>
      <c r="AK745" s="1"/>
    </row>
    <row r="748" spans="2:37" x14ac:dyDescent="0.25">
      <c r="AH748" s="1">
        <v>1.1000000000000001</v>
      </c>
    </row>
    <row r="829" spans="2:37" x14ac:dyDescent="0.25">
      <c r="B829" s="2"/>
    </row>
    <row r="830" spans="2:37" s="2" customFormat="1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V830" s="5"/>
      <c r="Z830" s="5"/>
      <c r="AH830" s="1"/>
      <c r="AI830" s="1"/>
      <c r="AJ830" s="1"/>
      <c r="AK830" s="1"/>
    </row>
    <row r="831" spans="2:37" x14ac:dyDescent="0.25">
      <c r="B831" s="2"/>
    </row>
    <row r="832" spans="2:37" s="2" customFormat="1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Z832" s="5"/>
      <c r="AD832" s="5"/>
      <c r="AH832" s="1"/>
      <c r="AI832" s="1"/>
      <c r="AJ832" s="1"/>
      <c r="AK832" s="1"/>
    </row>
    <row r="860" spans="22:30" x14ac:dyDescent="0.25">
      <c r="V860" s="5"/>
      <c r="Z860" s="5"/>
    </row>
    <row r="862" spans="22:30" x14ac:dyDescent="0.25">
      <c r="Z862" s="5"/>
      <c r="AD862" s="5"/>
    </row>
    <row r="870" spans="34:34" x14ac:dyDescent="0.25">
      <c r="AH870" s="1">
        <v>1.1000000000000001</v>
      </c>
    </row>
  </sheetData>
  <mergeCells count="18">
    <mergeCell ref="H24:I24"/>
    <mergeCell ref="H25:I25"/>
    <mergeCell ref="H26:I26"/>
    <mergeCell ref="H27:I27"/>
    <mergeCell ref="H28:I28"/>
    <mergeCell ref="H23:I23"/>
    <mergeCell ref="G14:I14"/>
    <mergeCell ref="C3:I3"/>
    <mergeCell ref="C4:I4"/>
    <mergeCell ref="C5:I5"/>
    <mergeCell ref="C6:I6"/>
    <mergeCell ref="G7:I7"/>
    <mergeCell ref="H22:I22"/>
    <mergeCell ref="H17:I17"/>
    <mergeCell ref="H18:I18"/>
    <mergeCell ref="H19:I19"/>
    <mergeCell ref="H20:I20"/>
    <mergeCell ref="H21:I21"/>
  </mergeCells>
  <printOptions horizontalCentered="1"/>
  <pageMargins left="0.7" right="0.7" top="0.75" bottom="0.75" header="0.3" footer="0.3"/>
  <pageSetup scale="80" orientation="portrait" r:id="rId1"/>
  <headerFooter>
    <oddFooter>&amp;C&amp;P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78D5D1-9BE5-47E0-8B62-49EBF63ABB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TL-15255</vt:lpstr>
      <vt:lpstr>'TL-15255'!CA_Counties_TFR_Tax_Rates__2</vt:lpstr>
      <vt:lpstr>'TL-15255'!Print_Area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Square</dc:creator>
  <cp:lastModifiedBy>Jonathan Smith</cp:lastModifiedBy>
  <cp:lastPrinted>2022-07-08T17:29:49Z</cp:lastPrinted>
  <dcterms:created xsi:type="dcterms:W3CDTF">2018-12-17T22:04:40Z</dcterms:created>
  <dcterms:modified xsi:type="dcterms:W3CDTF">2026-02-24T21:00:16Z</dcterms:modified>
</cp:coreProperties>
</file>